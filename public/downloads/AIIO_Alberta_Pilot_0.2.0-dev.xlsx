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8ab87d0a098455c" /></Relationships>
</file>

<file path=xl/workbook.xml><?xml version="1.0" encoding="utf-8"?>
<x:workbook xmlns:x="http://schemas.openxmlformats.org/spreadsheetml/2006/main">
  <x:sheets>
    <x:sheet xmlns:r="http://schemas.openxmlformats.org/officeDocument/2006/relationships" name="Read Me" sheetId="1" r:id="Rb838b13b0bac407c"/>
    <x:sheet xmlns:r="http://schemas.openxmlformats.org/officeDocument/2006/relationships" name="Dashboard" sheetId="2" r:id="Rc7dd6c4ba830483e"/>
    <x:sheet xmlns:r="http://schemas.openxmlformats.org/officeDocument/2006/relationships" name="Assumptions" sheetId="3" r:id="R9980c1a238104b31"/>
    <x:sheet xmlns:r="http://schemas.openxmlformats.org/officeDocument/2006/relationships" name="Scenario Timeline" sheetId="4" r:id="R2e3058dbcbf14548"/>
    <x:sheet xmlns:r="http://schemas.openxmlformats.org/officeDocument/2006/relationships" name="Pressure Results" sheetId="5" r:id="Rc32b87ea3fe84589"/>
    <x:sheet xmlns:r="http://schemas.openxmlformats.org/officeDocument/2006/relationships" name="Sensitivity" sheetId="6" r:id="R489d4e8b19774908"/>
    <x:sheet xmlns:r="http://schemas.openxmlformats.org/officeDocument/2006/relationships" name="Power Overlay" sheetId="7" r:id="R1d2cc36515e64099"/>
    <x:sheet xmlns:r="http://schemas.openxmlformats.org/officeDocument/2006/relationships" name="AI Projects" sheetId="8" r:id="R1310427029d14b0e"/>
    <x:sheet xmlns:r="http://schemas.openxmlformats.org/officeDocument/2006/relationships" name="BCPI Data" sheetId="9" r:id="Rdc723795255a46d7"/>
    <x:sheet xmlns:r="http://schemas.openxmlformats.org/officeDocument/2006/relationships" name="Sources" sheetId="10" r:id="R672db09ac6e64b79"/>
    <x:sheet xmlns:r="http://schemas.openxmlformats.org/officeDocument/2006/relationships" name="Release Checks" sheetId="11" r:id="Rf51c4ea08a824eef"/>
  </x:sheets>
</x:workbook>
</file>

<file path=xl/comments1.xml><?xml version="1.0" encoding="utf-8"?>
<x:comments xmlns:x="http://schemas.openxmlformats.org/spreadsheetml/2006/main">
  <x:authors>
    <x:author>tc={798204B1-73D1-4CC6-A3A2-58A5552F13C2}</x:author>
    <x:author>tc={9B3FE770-F6B8-4F6F-9886-CB2ADF8F8FC8}</x:author>
    <x:author>tc={D9469942-DA12-4E7E-9712-C91FE571C553}</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3">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26" xfId="0" applyNumberFormat="1" applyFont="1" applyFill="1" applyBorder="1"/>
    <x:xf numFmtId="0" fontId="13" fillId="9" borderId="27" xfId="0" applyNumberFormat="1" applyFont="1" applyFill="1" applyBorder="1"/>
    <x:xf numFmtId="0" fontId="13" fillId="9" borderId="28" xfId="0" applyNumberFormat="1" applyFont="1" applyFill="1" applyBorder="1"/>
    <x:xf numFmtId="0" fontId="13" fillId="9" borderId="26" xfId="0" applyNumberFormat="1" applyFont="1" applyFill="1" applyBorder="1" applyAlignment="1">
      <x:alignment horizontal="center"/>
    </x:xf>
    <x:xf numFmtId="0" fontId="13" fillId="9" borderId="27" xfId="0" applyNumberFormat="1" applyFont="1" applyFill="1" applyBorder="1" applyAlignment="1">
      <x:alignment horizontal="center"/>
    </x:xf>
    <x:xf numFmtId="0" fontId="13" fillId="9" borderId="28" xfId="0" applyNumberFormat="1" applyFont="1" applyFill="1" applyBorder="1" applyAlignment="1">
      <x:alignment horizontal="center"/>
    </x:xf>
    <x:xf numFmtId="0" fontId="13" fillId="9" borderId="26" xfId="0" applyNumberFormat="1" applyFont="1" applyFill="1" applyBorder="1" applyAlignment="1">
      <x:alignment horizontal="center" vertical="center"/>
    </x:xf>
    <x:xf numFmtId="0" fontId="13" fillId="9" borderId="27" xfId="0" applyNumberFormat="1" applyFont="1" applyFill="1" applyBorder="1" applyAlignment="1">
      <x:alignment horizontal="center" vertical="center"/>
    </x:xf>
    <x:xf numFmtId="0" fontId="13" fillId="9" borderId="28"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29" xfId="0" applyNumberFormat="1" applyFont="1" applyFill="1" applyBorder="1"/>
    <x:xf numFmtId="0" fontId="14" fillId="10" borderId="30" xfId="0" applyNumberFormat="1" applyFont="1" applyFill="1" applyBorder="1"/>
    <x:xf numFmtId="0" fontId="14" fillId="10" borderId="31" xfId="0" applyNumberFormat="1" applyFont="1" applyFill="1" applyBorder="1"/>
    <x:xf numFmtId="0" fontId="14" fillId="10" borderId="32"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29" xfId="0" applyNumberFormat="1" applyFont="1" applyFill="1" applyBorder="1" applyAlignment="1">
      <x:alignment horizontal="center"/>
    </x:xf>
    <x:xf numFmtId="0" fontId="14" fillId="10" borderId="30" xfId="0" applyNumberFormat="1" applyFont="1" applyFill="1" applyBorder="1" applyAlignment="1">
      <x:alignment horizontal="center"/>
    </x:xf>
    <x:xf numFmtId="0" fontId="14" fillId="10" borderId="31" xfId="0" applyNumberFormat="1" applyFont="1" applyFill="1" applyBorder="1" applyAlignment="1">
      <x:alignment horizontal="center"/>
    </x:xf>
    <x:xf numFmtId="0" fontId="14" fillId="10" borderId="32" xfId="0" applyNumberFormat="1" applyFont="1" applyFill="1" applyBorder="1" applyAlignment="1">
      <x:alignment horizontal="center"/>
    </x:xf>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29" xfId="0" applyNumberFormat="1" applyFont="1" applyFill="1" applyBorder="1" applyAlignment="1">
      <x:alignment horizontal="center" vertical="center"/>
    </x:xf>
    <x:xf numFmtId="0" fontId="14" fillId="10" borderId="30" xfId="0" applyNumberFormat="1" applyFont="1" applyFill="1" applyBorder="1" applyAlignment="1">
      <x:alignment horizontal="center" vertical="center"/>
    </x:xf>
    <x:xf numFmtId="0" fontId="14" fillId="10" borderId="31" xfId="0" applyNumberFormat="1" applyFont="1" applyFill="1" applyBorder="1" applyAlignment="1">
      <x:alignment horizontal="center" vertical="center"/>
    </x:xf>
    <x:xf numFmtId="0" fontId="14" fillId="10" borderId="32" xfId="0" applyNumberFormat="1" applyFont="1" applyFill="1" applyBorder="1" applyAlignment="1">
      <x:alignment horizontal="center" vertic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209" fontId="14" fillId="10" borderId="29" xfId="0" applyNumberFormat="1" applyFont="1" applyFill="1" applyBorder="1" applyAlignment="1">
      <x:alignment horizontal="center" vertical="center"/>
    </x:xf>
    <x:xf numFmtId="210" fontId="14" fillId="10" borderId="29" xfId="0" applyNumberFormat="1" applyFont="1" applyFill="1" applyBorder="1" applyAlignment="1">
      <x:alignment horizontal="center" vertical="center"/>
    </x:xf>
    <x:xf numFmtId="203" fontId="14" fillId="10" borderId="29" xfId="0" applyNumberFormat="1" applyFont="1" applyFill="1" applyBorder="1" applyAlignment="1">
      <x:alignment horizontal="center" vertical="center"/>
    </x:xf>
    <x:xf numFmtId="211" fontId="14" fillId="10" borderId="29"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26" xfId="0" applyNumberFormat="1" applyFont="1" applyFill="1" applyBorder="1" applyAlignment="1">
      <x:alignment horizontal="center" vertical="center" wrapText="1"/>
    </x:xf>
    <x:xf numFmtId="0" fontId="13" fillId="9" borderId="27" xfId="0" applyNumberFormat="1" applyFont="1" applyFill="1" applyBorder="1" applyAlignment="1">
      <x:alignment horizontal="center" vertical="center" wrapText="1"/>
    </x:xf>
    <x:xf numFmtId="0" fontId="13" fillId="9" borderId="28" xfId="0" applyNumberFormat="1" applyFont="1" applyFill="1" applyBorder="1" applyAlignment="1">
      <x:alignment horizontal="center" vertical="center" wrapText="1"/>
    </x:xf>
    <x:xf numFmtId="209" fontId="14" fillId="10" borderId="29" xfId="0" applyNumberFormat="1" applyFont="1" applyFill="1" applyBorder="1" applyAlignment="1">
      <x:alignment horizontal="center" vertical="center" wrapText="1"/>
    </x:xf>
    <x:xf numFmtId="0" fontId="14" fillId="10" borderId="30" xfId="0" applyNumberFormat="1" applyFont="1" applyFill="1" applyBorder="1" applyAlignment="1">
      <x:alignment horizontal="center" vertical="center" wrapText="1"/>
    </x:xf>
    <x:xf numFmtId="0" fontId="14" fillId="10" borderId="31" xfId="0" applyNumberFormat="1" applyFont="1" applyFill="1" applyBorder="1" applyAlignment="1">
      <x:alignment horizontal="center" vertical="center" wrapText="1"/>
    </x:xf>
    <x:xf numFmtId="210" fontId="14" fillId="10" borderId="29" xfId="0" applyNumberFormat="1" applyFont="1" applyFill="1" applyBorder="1" applyAlignment="1">
      <x:alignment horizontal="center" vertical="center" wrapText="1"/>
    </x:xf>
    <x:xf numFmtId="203" fontId="14" fillId="10" borderId="29" xfId="0" applyNumberFormat="1" applyFont="1" applyFill="1" applyBorder="1" applyAlignment="1">
      <x:alignment horizontal="center" vertical="center" wrapText="1"/>
    </x:xf>
    <x:xf numFmtId="211" fontId="14" fillId="10" borderId="29" xfId="0" applyNumberFormat="1" applyFont="1" applyFill="1" applyBorder="1" applyAlignment="1">
      <x:alignment horizontal="center" vertical="center" wrapText="1"/>
    </x:xf>
    <x:xf numFmtId="0" fontId="14" fillId="10" borderId="32" xfId="0" applyNumberFormat="1" applyFont="1" applyFill="1" applyBorder="1" applyAlignment="1">
      <x:alignment horizontal="center" vertical="center" wrapText="1"/>
    </x:xf>
    <x:xf numFmtId="0"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2">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e2505c51a34422" /><Relationship Type="http://schemas.openxmlformats.org/officeDocument/2006/relationships/theme" Target="/xl/theme/theme1.xml" Id="Raaec98add95c46d1" /><Relationship Type="http://schemas.microsoft.com/office/2022/11/relationships/FeaturePropertyBag" Target="/xl/featurePropertyBag/featurePropertyBag.xml" Id="Rff04ff62512140b4" /><Relationship Type="http://schemas.openxmlformats.org/officeDocument/2006/relationships/sharedStrings" Target="/xl/sharedStrings.xml" Id="R8983538fd984460c" /><Relationship Type="http://schemas.openxmlformats.org/officeDocument/2006/relationships/worksheet" Target="/xl/worksheets/sheet1.xml" Id="Rb838b13b0bac407c" /><Relationship Type="http://schemas.openxmlformats.org/officeDocument/2006/relationships/worksheet" Target="/xl/worksheets/sheet2.xml" Id="Rc7dd6c4ba830483e" /><Relationship Type="http://schemas.openxmlformats.org/officeDocument/2006/relationships/worksheet" Target="/xl/worksheets/sheet3.xml" Id="R9980c1a238104b31" /><Relationship Type="http://schemas.openxmlformats.org/officeDocument/2006/relationships/worksheet" Target="/xl/worksheets/sheet4.xml" Id="R2e3058dbcbf14548" /><Relationship Type="http://schemas.openxmlformats.org/officeDocument/2006/relationships/worksheet" Target="/xl/worksheets/sheet5.xml" Id="Rc32b87ea3fe84589" /><Relationship Type="http://schemas.openxmlformats.org/officeDocument/2006/relationships/worksheet" Target="/xl/worksheets/sheet6.xml" Id="R489d4e8b19774908" /><Relationship Type="http://schemas.openxmlformats.org/officeDocument/2006/relationships/worksheet" Target="/xl/worksheets/sheet7.xml" Id="R1d2cc36515e64099" /><Relationship Type="http://schemas.openxmlformats.org/officeDocument/2006/relationships/worksheet" Target="/xl/worksheets/sheet8.xml" Id="R1310427029d14b0e" /><Relationship Type="http://schemas.openxmlformats.org/officeDocument/2006/relationships/worksheet" Target="/xl/worksheets/sheet9.xml" Id="Rdc723795255a46d7" /><Relationship Type="http://schemas.openxmlformats.org/officeDocument/2006/relationships/worksheet" Target="/xl/worksheets/sheet10.xml" Id="R672db09ac6e64b79" /><Relationship Type="http://schemas.openxmlformats.org/officeDocument/2006/relationships/worksheet" Target="/xl/worksheets/sheet11.xml" Id="Rf51c4ea08a824eef" /><Relationship Type="http://schemas.microsoft.com/office/2017/10/relationships/person" Target="/xl/persons/person.xml" Id="R5e62d181b0da48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d97b7d993745b1" /><Relationship Type="http://schemas.openxmlformats.org/officeDocument/2006/relationships/chart" Target="/xl/drawings/charts/chart2.xml" Id="Ra2d6c480c1d3419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d97b7d993745b1"/>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d6c480c1d3419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F8493558-F1F6-41C7-A408-3AE737B83E7A}"/>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SourceRegisterTable" displayName="SourceRegisterTable" ref="A4:H13"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15:06:57.405" personId="{F8493558-F1F6-41C7-A408-3AE737B83E7A}" id="{798204B1-73D1-4CC6-A3A2-58A5552F13C2}">
    <xltc:text>Scenario-only input. This is not a forecast or a total of committed projects.</xltc:text>
  </xltc:threadedComment>
  <xltc:threadedComment ref="B10" dT="2026-08-31T15:06:57.405" personId="{F8493558-F1F6-41C7-A408-3AE737B83E7A}" id="{9B3FE770-F6B8-4F6F-9886-CB2ADF8F8FC8}">
    <xltc:text>Assumed share of locally captured construction and service demand. Test through sensitivity analysis before interpretation.</xltc:text>
  </xltc:threadedComment>
  <xltc:threadedComment ref="C24" dT="2026-08-31T15:06:57.405" personId="{F8493558-F1F6-41C7-A408-3AE737B83E7A}" id="{D9469942-DA12-4E7E-9712-C91FE571C553}">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6cbe9cb872b84570" /></Relationships>
</file>

<file path=xl/worksheets/_rels/sheet3.xml.rels>&#65279;<?xml version="1.0" encoding="utf-8"?><Relationships xmlns="http://schemas.openxmlformats.org/package/2006/relationships"><Relationship Type="http://schemas.openxmlformats.org/officeDocument/2006/relationships/comments" Target="/xl/comments1.xml" Id="R85a35c6639774840" /><Relationship Type="http://schemas.openxmlformats.org/officeDocument/2006/relationships/vmlDrawing" Target="/xl/drawings/vmldrawing.vml" Id="Rffc2daf7e89f49a1" /><Relationship Type="http://schemas.microsoft.com/office/2017/10/relationships/threadedComment" Target="/xl/threadedcomments/threadedcomment.xml" Id="R8942f4211d584ecc" /></Relationships>
</file>

<file path=xl/worksheets/_rels/sheet7.xml.rels>&#65279;<?xml version="1.0" encoding="utf-8"?><Relationships xmlns="http://schemas.openxmlformats.org/package/2006/relationships"><Relationship Type="http://schemas.openxmlformats.org/officeDocument/2006/relationships/table" Target="/xl/tables/table1.xml" Id="R2976f94d209d4941" /></Relationships>
</file>

<file path=xl/worksheets/_rels/sheet8.xml.rels>&#65279;<?xml version="1.0" encoding="utf-8"?><Relationships xmlns="http://schemas.openxmlformats.org/package/2006/relationships"><Relationship Type="http://schemas.openxmlformats.org/officeDocument/2006/relationships/table" Target="/xl/tables/table2.xml" Id="Rd9d40f544c834d4c" /></Relationships>
</file>

<file path=xl/worksheets/_rels/sheet9.xml.rels>&#65279;<?xml version="1.0" encoding="utf-8"?><Relationships xmlns="http://schemas.openxmlformats.org/package/2006/relationships"><Relationship Type="http://schemas.openxmlformats.org/officeDocument/2006/relationships/table" Target="/xl/tables/table3.xml" Id="Rbf0bdee98204479a" /></Relationships>
</file>

<file path=xl/worksheets/_rels/sheet10.xml.rels>&#65279;<?xml version="1.0" encoding="utf-8"?><Relationships xmlns="http://schemas.openxmlformats.org/package/2006/relationships"><Relationship Type="http://schemas.openxmlformats.org/officeDocument/2006/relationships/table" Target="/xl/tables/table4.xml" Id="Rd98578f4d0dd4ac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0.2.0-dev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Sources</x:v>
      </x:c>
      <x:c r="C26" s="63" t="str">
        <x:v>Open authoritative public URLs and check source vintages.</x:v>
      </x:c>
      <x:c r="D26" s="63" t="str"/>
      <x:c r="E26" s="63" t="str"/>
      <x:c r="F26" s="63" t="str"/>
      <x:c r="G26" s="63" t="str"/>
      <x:c r="H26" s="63" t="str"/>
    </x:row>
    <x:row r="27">
      <x:c r="A27" s="71" t="str">
        <x:v>10</x:v>
      </x:c>
      <x:c r="B27" s="72" t="str">
        <x:v>Release Checks</x:v>
      </x:c>
      <x:c r="C27" s="63" t="str">
        <x:v>Confirm formula reconciliations and manifest identity.</x:v>
      </x:c>
      <x:c r="D27" s="63" t="str"/>
      <x:c r="E27" s="63" t="str"/>
      <x:c r="F27" s="63" t="str"/>
      <x:c r="G27" s="63" t="str"/>
      <x:c r="H27" s="63" t="str"/>
    </x:row>
    <x:row r="28">
      <x:c r="A28" s="63"/>
      <x:c r="B28" s="63"/>
      <x:c r="C28" s="63"/>
      <x:c r="D28" s="63"/>
      <x:c r="E28" s="63"/>
      <x:c r="F28" s="63"/>
      <x:c r="G28" s="63"/>
      <x:c r="H28" s="63"/>
    </x:row>
    <x:row r="29">
      <x:c r="A29" s="63"/>
      <x:c r="B29" s="63"/>
      <x:c r="C29" s="63"/>
      <x:c r="D29" s="63"/>
      <x:c r="E29" s="63"/>
      <x:c r="F29" s="63"/>
      <x:c r="G29" s="63"/>
      <x:c r="H29" s="63"/>
    </x:row>
    <x:row r="30">
      <x:c r="A30" s="73" t="str">
        <x:v>Interpretation boundary</x:v>
      </x:c>
      <x:c r="B30" s="73"/>
      <x:c r="C30" s="73"/>
      <x:c r="D30" s="73"/>
      <x:c r="E30" s="73"/>
      <x:c r="F30" s="73"/>
      <x:c r="G30" s="73"/>
      <x:c r="H30" s="73"/>
    </x:row>
    <x:row r="31">
      <x:c r="A31" s="60" t="str">
        <x:v>UNCALIBRATED STRUCTURAL DIAGNOSTIC. Pressure scores are not findings, forecasts, probabilities or percentages: 0.24 does not mean a 24% delay. The graph excludes 54% of scenario capex. Power values come from an independent MW-based overlay and are not an AESO needs assessment.</x:v>
      </x:c>
      <x:c r="B31" s="60"/>
      <x:c r="C31" s="60"/>
      <x:c r="D31" s="60"/>
      <x:c r="E31" s="60"/>
      <x:c r="F31" s="60"/>
      <x:c r="G31" s="60"/>
      <x:c r="H31" s="60"/>
    </x:row>
    <x:row r="32">
      <x:c r="A32" s="60"/>
      <x:c r="B32" s="60"/>
      <x:c r="C32" s="60"/>
      <x:c r="D32" s="60"/>
      <x:c r="E32" s="60"/>
      <x:c r="F32" s="60"/>
      <x:c r="G32" s="60"/>
      <x:c r="H32" s="60"/>
    </x:row>
    <x:row r="33">
      <x:c r="A33" s="60"/>
      <x:c r="B33" s="60"/>
      <x:c r="C33" s="60"/>
      <x:c r="D33" s="60"/>
      <x:c r="E33" s="60"/>
      <x:c r="F33" s="60"/>
      <x:c r="G33" s="60"/>
      <x:c r="H33" s="60"/>
    </x:row>
    <x:row r="34">
      <x:c r="A34" s="60"/>
      <x:c r="B34" s="60"/>
      <x:c r="C34" s="60"/>
      <x:c r="D34" s="60"/>
      <x:c r="E34" s="60"/>
      <x:c r="F34" s="60"/>
      <x:c r="G34" s="60"/>
      <x:c r="H34" s="60"/>
    </x:row>
    <x:row r="35">
      <x:c r="A35" s="60"/>
      <x:c r="B35" s="60"/>
      <x:c r="C35" s="60"/>
      <x:c r="D35" s="60"/>
      <x:c r="E35" s="60"/>
      <x:c r="F35" s="60"/>
      <x:c r="G35" s="60"/>
      <x:c r="H35" s="60"/>
    </x:row>
    <x:row r="36">
      <x:c r="A36" s="63"/>
      <x:c r="B36" s="63"/>
      <x:c r="C36" s="63"/>
      <x:c r="D36" s="63"/>
      <x:c r="E36" s="63"/>
      <x:c r="F36" s="63"/>
      <x:c r="G36" s="63"/>
      <x:c r="H36"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A30:H30"/>
    <x:mergeCell ref="A31: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0.2.0-dev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27" t="str">
        <x:v>Known reported core capex</x:v>
      </x:c>
      <x:c r="B5" s="228"/>
      <x:c r="C5" s="229"/>
      <x:c r="D5" s="227" t="str">
        <x:v>Core facility records</x:v>
      </x:c>
      <x:c r="E5" s="228"/>
      <x:c r="F5" s="229"/>
      <x:c r="G5" s="227" t="str">
        <x:v>Central trade pressure</x:v>
      </x:c>
      <x:c r="H5" s="228"/>
      <x:c r="I5" s="229"/>
      <x:c r="J5" s="227" t="str">
        <x:v>Transfer planning proxy</x:v>
      </x:c>
      <x:c r="K5" s="228"/>
      <x:c r="L5" s="229"/>
    </x:row>
    <x:row r="6">
      <x:c r="A6" s="230" t="n">
        <x:f>SUMIF('AI Projects'!$M$5:$M$26,"core_data_centre",'AI Projects'!$C$5:$C$26)/1000000000</x:f>
        <x:v>49.01</x:v>
      </x:c>
      <x:c r="B6" s="231"/>
      <x:c r="C6" s="232"/>
      <x:c r="D6" s="233" t="n">
        <x:f>COUNTIF('AI Projects'!$M$5:$M$26,"core_data_centre")</x:f>
        <x:v>19</x:v>
      </x:c>
      <x:c r="E6" s="231"/>
      <x:c r="F6" s="232"/>
      <x:c r="G6" s="234" t="n">
        <x:f>MAX('Pressure Results'!$F$5:$F$8)</x:f>
        <x:v>0.62</x:v>
      </x:c>
      <x:c r="H6" s="231"/>
      <x:c r="I6" s="232"/>
      <x:c r="J6" s="235" t="n">
        <x:f>'Assumptions'!K24/1000</x:f>
        <x:v>1.8215999999999999</x:v>
      </x:c>
      <x:c r="K6" s="231"/>
      <x:c r="L6" s="232"/>
    </x:row>
    <x:row r="7">
      <x:c r="A7" s="236"/>
      <x:c r="B7" s="237"/>
      <x:c r="C7" s="238"/>
      <x:c r="D7" s="236"/>
      <x:c r="E7" s="237"/>
      <x:c r="F7" s="238"/>
      <x:c r="G7" s="236"/>
      <x:c r="H7" s="237"/>
      <x:c r="I7" s="238"/>
      <x:c r="J7" s="236"/>
      <x:c r="K7" s="237"/>
      <x:c r="L7" s="238"/>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0.62</x:v>
      </x:c>
      <x:c r="C10" s="63"/>
      <x:c r="D10" s="63"/>
      <x:c r="E10" s="63"/>
      <x:c r="F10" s="63"/>
      <x:c r="G10" s="63"/>
      <x:c r="H10" s="63"/>
      <x:c r="I10" s="63"/>
      <x:c r="J10" s="63"/>
      <x:c r="K10" s="63"/>
      <x:c r="L10" s="63"/>
    </x:row>
    <x:row r="11">
      <x:c r="A11" s="63" t="str">
        <x:f>'Pressure Results'!B6</x:f>
        <x:v>HVAC mechanics</x:v>
      </x:c>
      <x:c r="B11" s="147" t="n">
        <x:f>'Pressure Results'!F6</x:f>
        <x:v>0.42</x:v>
      </x:c>
      <x:c r="C11" s="63"/>
      <x:c r="D11" s="63"/>
      <x:c r="E11" s="63"/>
      <x:c r="F11" s="63"/>
      <x:c r="G11" s="63"/>
      <x:c r="H11" s="63"/>
      <x:c r="I11" s="63"/>
      <x:c r="J11" s="63"/>
      <x:c r="K11" s="63"/>
      <x:c r="L11" s="63"/>
    </x:row>
    <x:row r="12">
      <x:c r="A12" s="63" t="str">
        <x:f>'Pressure Results'!B7</x:f>
        <x:v>Power-line trades</x:v>
      </x:c>
      <x:c r="B12" s="147" t="n">
        <x:f>'Pressure Results'!F7</x:f>
        <x:v>0.29</x:v>
      </x:c>
      <x:c r="C12" s="63"/>
      <x:c r="D12" s="63"/>
      <x:c r="E12" s="63"/>
      <x:c r="F12" s="63"/>
      <x:c r="G12" s="63"/>
      <x:c r="H12" s="63"/>
      <x:c r="I12" s="63"/>
      <x:c r="J12" s="63"/>
      <x:c r="K12" s="63"/>
      <x:c r="L12" s="63"/>
    </x:row>
    <x:row r="13">
      <x:c r="A13" s="63" t="str">
        <x:f>'Pressure Results'!B8</x:f>
        <x:v>Concrete trades</x:v>
      </x:c>
      <x:c r="B13" s="147" t="n">
        <x:f>'Pressure Results'!F8</x:f>
        <x:v>0.25</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row r="21">
      <x:c r="A21" s="63"/>
      <x:c r="B21" s="63"/>
      <x:c r="C21" s="63"/>
      <x:c r="D21" s="63"/>
      <x:c r="E21" s="63"/>
      <x:c r="F21" s="63"/>
      <x:c r="G21" s="63"/>
      <x:c r="H21" s="63"/>
      <x:c r="I21" s="63"/>
      <x:c r="J21" s="63"/>
      <x:c r="K21" s="63"/>
      <x:c r="L21" s="63"/>
    </x:row>
    <x:row r="22">
      <x:c r="A22" s="63"/>
      <x:c r="B22" s="63"/>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39" t="n">
        <x:f>'Scenario Timeline'!C5/1000000000</x:f>
        <x:v>2</x:v>
      </x:c>
      <x:c r="C26" s="63"/>
      <x:c r="D26" s="63"/>
      <x:c r="E26" s="63"/>
      <x:c r="F26" s="63"/>
      <x:c r="G26" s="63"/>
      <x:c r="H26" s="63"/>
      <x:c r="I26" s="63"/>
      <x:c r="J26" s="63"/>
      <x:c r="K26" s="63"/>
      <x:c r="L26" s="63"/>
    </x:row>
    <x:row r="27">
      <x:c r="A27" s="63" t="n">
        <x:f>'Scenario Timeline'!A6</x:f>
        <x:v>2028</x:v>
      </x:c>
      <x:c r="B27" s="239" t="n">
        <x:f>'Scenario Timeline'!C6/1000000000</x:f>
        <x:v>3.5000000000000004</x:v>
      </x:c>
      <x:c r="C27" s="63"/>
      <x:c r="D27" s="63"/>
      <x:c r="E27" s="63"/>
      <x:c r="F27" s="63"/>
      <x:c r="G27" s="63"/>
      <x:c r="H27" s="63"/>
      <x:c r="I27" s="63"/>
      <x:c r="J27" s="63"/>
      <x:c r="K27" s="63"/>
      <x:c r="L27" s="63"/>
    </x:row>
    <x:row r="28">
      <x:c r="A28" s="63" t="n">
        <x:f>'Scenario Timeline'!A7</x:f>
        <x:v>2029</x:v>
      </x:c>
      <x:c r="B28" s="239" t="n">
        <x:f>'Scenario Timeline'!C7/1000000000</x:f>
        <x:v>5</x:v>
      </x:c>
      <x:c r="C28" s="63"/>
      <x:c r="D28" s="63"/>
      <x:c r="E28" s="63"/>
      <x:c r="F28" s="63"/>
      <x:c r="G28" s="63"/>
      <x:c r="H28" s="63"/>
      <x:c r="I28" s="63"/>
      <x:c r="J28" s="63"/>
      <x:c r="K28" s="63"/>
      <x:c r="L28" s="63"/>
    </x:row>
    <x:row r="29">
      <x:c r="A29" s="63" t="n">
        <x:f>'Scenario Timeline'!A8</x:f>
        <x:v>2030</x:v>
      </x:c>
      <x:c r="B29" s="239" t="n">
        <x:f>'Scenario Timeline'!C8/1000000000</x:f>
        <x:v>6</x:v>
      </x:c>
      <x:c r="C29" s="63"/>
      <x:c r="D29" s="63"/>
      <x:c r="E29" s="63"/>
      <x:c r="F29" s="63"/>
      <x:c r="G29" s="63"/>
      <x:c r="H29" s="63"/>
      <x:c r="I29" s="63"/>
      <x:c r="J29" s="63"/>
      <x:c r="K29" s="63"/>
      <x:c r="L29" s="63"/>
    </x:row>
    <x:row r="30">
      <x:c r="A30" s="63" t="n">
        <x:f>'Scenario Timeline'!A9</x:f>
        <x:v>2031</x:v>
      </x:c>
      <x:c r="B30" s="239" t="n">
        <x:f>'Scenario Timeline'!C9/1000000000</x:f>
        <x:v>7.000000000000001</x:v>
      </x:c>
      <x:c r="C30" s="63"/>
      <x:c r="D30" s="63"/>
      <x:c r="E30" s="63"/>
      <x:c r="F30" s="63"/>
      <x:c r="G30" s="63"/>
      <x:c r="H30" s="63"/>
      <x:c r="I30" s="63"/>
      <x:c r="J30" s="63"/>
      <x:c r="K30" s="63"/>
      <x:c r="L30" s="63"/>
    </x:row>
    <x:row r="31">
      <x:c r="A31" s="63" t="n">
        <x:f>'Scenario Timeline'!A10</x:f>
        <x:v>2032</x:v>
      </x:c>
      <x:c r="B31" s="239" t="n">
        <x:f>'Scenario Timeline'!C10/1000000000</x:f>
        <x:v>7.000000000000001</x:v>
      </x:c>
      <x:c r="C31" s="63"/>
      <x:c r="D31" s="63"/>
      <x:c r="E31" s="63"/>
      <x:c r="F31" s="63"/>
      <x:c r="G31" s="63"/>
      <x:c r="H31" s="63"/>
      <x:c r="I31" s="63"/>
      <x:c r="J31" s="63"/>
      <x:c r="K31" s="63"/>
      <x:c r="L31" s="63"/>
    </x:row>
    <x:row r="32">
      <x:c r="A32" s="63" t="n">
        <x:f>'Scenario Timeline'!A11</x:f>
        <x:v>2033</x:v>
      </x:c>
      <x:c r="B32" s="239" t="n">
        <x:f>'Scenario Timeline'!C11/1000000000</x:f>
        <x:v>6.5</x:v>
      </x:c>
      <x:c r="C32" s="63"/>
      <x:c r="D32" s="63"/>
      <x:c r="E32" s="63"/>
      <x:c r="F32" s="63"/>
      <x:c r="G32" s="63"/>
      <x:c r="H32" s="63"/>
      <x:c r="I32" s="63"/>
      <x:c r="J32" s="63"/>
      <x:c r="K32" s="63"/>
      <x:c r="L32" s="63"/>
    </x:row>
    <x:row r="33">
      <x:c r="A33" s="63" t="n">
        <x:f>'Scenario Timeline'!A12</x:f>
        <x:v>2034</x:v>
      </x:c>
      <x:c r="B33" s="239" t="n">
        <x:f>'Scenario Timeline'!C12/1000000000</x:f>
        <x:v>5.5</x:v>
      </x:c>
      <x:c r="C33" s="63"/>
      <x:c r="D33" s="63"/>
      <x:c r="E33" s="63"/>
      <x:c r="F33" s="63"/>
      <x:c r="G33" s="63"/>
      <x:c r="H33" s="63"/>
      <x:c r="I33" s="63"/>
      <x:c r="J33" s="63"/>
      <x:c r="K33" s="63"/>
      <x:c r="L33" s="63"/>
    </x:row>
    <x:row r="34">
      <x:c r="A34" s="63" t="n">
        <x:f>'Scenario Timeline'!A13</x:f>
        <x:v>2035</x:v>
      </x:c>
      <x:c r="B34" s="239" t="n">
        <x:f>'Scenario Timeline'!C13/1000000000</x:f>
        <x:v>4.5</x:v>
      </x:c>
      <x:c r="C34" s="63"/>
      <x:c r="D34" s="63"/>
      <x:c r="E34" s="63"/>
      <x:c r="F34" s="63"/>
      <x:c r="G34" s="63"/>
      <x:c r="H34" s="63"/>
      <x:c r="I34" s="63"/>
      <x:c r="J34" s="63"/>
      <x:c r="K34" s="63"/>
      <x:c r="L34" s="63"/>
    </x:row>
    <x:row r="35">
      <x:c r="A35" s="63" t="n">
        <x:f>'Scenario Timeline'!A14</x:f>
        <x:v>2036</x:v>
      </x:c>
      <x:c r="B35" s="239"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16" t="str">
        <x:v>UNCALIBRATED STRUCTURAL DIAGNOSTIC: project capex is an observed announcement pipeline with inferred classification. Pressure scores are not findings, percentages or delay estimates; 54% of scenario capex is excluded. Power is an independent MW overlay, not grid availability or an AESO needs assessment.</x:v>
      </x:c>
      <x:c r="B41" s="217"/>
      <x:c r="C41" s="217"/>
      <x:c r="D41" s="217"/>
      <x:c r="E41" s="217"/>
      <x:c r="F41" s="217"/>
      <x:c r="G41" s="217"/>
      <x:c r="H41" s="217"/>
      <x:c r="I41" s="217"/>
      <x:c r="J41" s="217"/>
      <x:c r="K41" s="217"/>
      <x:c r="L41" s="218"/>
    </x:row>
    <x:row r="42">
      <x:c r="A42" s="219"/>
      <x:c r="B42" s="220"/>
      <x:c r="C42" s="220"/>
      <x:c r="D42" s="220"/>
      <x:c r="E42" s="220"/>
      <x:c r="F42" s="220"/>
      <x:c r="G42" s="220"/>
      <x:c r="H42" s="220"/>
      <x:c r="I42" s="220"/>
      <x:c r="J42" s="220"/>
      <x:c r="K42" s="220"/>
      <x:c r="L42" s="221"/>
    </x:row>
    <x:row r="43">
      <x:c r="A43" s="222"/>
      <x:c r="B43" s="223"/>
      <x:c r="C43" s="223"/>
      <x:c r="D43" s="223"/>
      <x:c r="E43" s="223"/>
      <x:c r="F43" s="223"/>
      <x:c r="G43" s="223"/>
      <x:c r="H43" s="223"/>
      <x:c r="I43" s="223"/>
      <x:c r="J43" s="223"/>
      <x:c r="K43" s="223"/>
      <x:c r="L43" s="224"/>
    </x:row>
    <x:row r="44">
      <x:c r="A44" s="240" t="str">
        <x:v>Release hash: sha256:78d80249d4748d8f5f2586b90ddea3456ea7433c49dab3fbdd1d271c57cc55f5</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41:L43"/>
    <x:mergeCell ref="A44:L44"/>
  </x:mergeCells>
  <x:pageMargins left="0.7" right="0.7" top="0.75" bottom="0.75" header="0.3" footer="0.3"/>
  <x:drawing xmlns:r="http://schemas.openxmlformats.org/officeDocument/2006/relationships" r:id="R6cbe9cb872b84570"/>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ffc2daf7e89f49a1"/>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0.33</x:v>
      </x:c>
      <x:c r="E5" s="63" t="n">
        <x:v>2033</x:v>
      </x:c>
      <x:c r="F5" s="147" t="n">
        <x:v>0.62</x:v>
      </x:c>
      <x:c r="G5" s="63" t="n">
        <x:v>2034</x:v>
      </x:c>
      <x:c r="H5" s="147" t="n">
        <x:v>1.23</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0.2</x:v>
      </x:c>
      <x:c r="E6" s="63" t="n">
        <x:v>2033</x:v>
      </x:c>
      <x:c r="F6" s="147" t="n">
        <x:v>0.42</x:v>
      </x:c>
      <x:c r="G6" s="63" t="n">
        <x:v>2034</x:v>
      </x:c>
      <x:c r="H6" s="147" t="n">
        <x:v>0.89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0.14</x:v>
      </x:c>
      <x:c r="E7" s="63" t="n">
        <x:v>2033</x:v>
      </x:c>
      <x:c r="F7" s="147" t="n">
        <x:v>0.29</x:v>
      </x:c>
      <x:c r="G7" s="63" t="n">
        <x:v>2034</x:v>
      </x:c>
      <x:c r="H7" s="147" t="n">
        <x:v>0.59</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0.12</x:v>
      </x:c>
      <x:c r="E8" s="63" t="n">
        <x:v>2033</x:v>
      </x:c>
      <x:c r="F8" s="147" t="n">
        <x:v>0.25</x:v>
      </x:c>
      <x:c r="G8" s="63" t="n">
        <x:v>2034</x:v>
      </x:c>
      <x:c r="H8" s="147" t="n">
        <x:v>0.52</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0.09</x:v>
      </x:c>
      <x:c r="E9" s="63" t="n">
        <x:v>2034</x:v>
      </x:c>
      <x:c r="F9" s="147" t="n">
        <x:v>0.45</x:v>
      </x:c>
      <x:c r="G9" s="63" t="n">
        <x:v>2035</x:v>
      </x:c>
      <x:c r="H9" s="147" t="n">
        <x:v>2.49</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0.08</x:v>
      </x:c>
      <x:c r="E10" s="63" t="n">
        <x:v>2034</x:v>
      </x:c>
      <x:c r="F10" s="147" t="n">
        <x:v>0.36</x:v>
      </x:c>
      <x:c r="G10" s="63" t="n">
        <x:v>2035</x:v>
      </x:c>
      <x:c r="H10" s="147" t="n">
        <x:v>1.51</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0.06</x:v>
      </x:c>
      <x:c r="E11" s="63" t="n">
        <x:v>2034</x:v>
      </x:c>
      <x:c r="F11" s="147" t="n">
        <x:v>0.29</x:v>
      </x:c>
      <x:c r="G11" s="63" t="n">
        <x:v>2035</x:v>
      </x:c>
      <x:c r="H11" s="147" t="n">
        <x:v>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0.04</x:v>
      </x:c>
      <x:c r="E12" s="63" t="n">
        <x:v>2034</x:v>
      </x:c>
      <x:c r="F12" s="147" t="n">
        <x:v>0.23</x:v>
      </x:c>
      <x:c r="G12" s="63" t="n">
        <x:v>2035</x:v>
      </x:c>
      <x:c r="H12" s="147" t="n">
        <x:v>1.31</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0.02</x:v>
      </x:c>
      <x:c r="E13" s="63" t="n">
        <x:v>2034</x:v>
      </x:c>
      <x:c r="F13" s="147" t="n">
        <x:v>0.12</x:v>
      </x:c>
      <x:c r="G13" s="63" t="n">
        <x:v>2035</x:v>
      </x:c>
      <x:c r="H13" s="147" t="n">
        <x:v>0.57</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0.62</x:v>
      </x:c>
      <x:c r="J5" s="63" t="n">
        <x:v>2034</x:v>
      </x:c>
      <x:c r="K5" s="63" t="str">
        <x:v>Hospital delivery delay pressure</x:v>
      </x:c>
      <x:c r="L5" s="147" t="n">
        <x:v>0.45</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1.23</x:v>
      </x:c>
      <x:c r="J6" s="63" t="n">
        <x:v>2034</x:v>
      </x:c>
      <x:c r="K6" s="63" t="str">
        <x:v>Hospital delivery delay pressure</x:v>
      </x:c>
      <x:c r="L6" s="147" t="n">
        <x:v>0.9</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0.31</x:v>
      </x:c>
      <x:c r="J7" s="63" t="n">
        <x:v>2034</x:v>
      </x:c>
      <x:c r="K7" s="63" t="str">
        <x:v>Hospital delivery delay pressure</x:v>
      </x:c>
      <x:c r="L7" s="147" t="n">
        <x:v>0.22</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0.69</x:v>
      </x:c>
      <x:c r="J8" s="63" t="n">
        <x:v>2034</x:v>
      </x:c>
      <x:c r="K8" s="63" t="str">
        <x:v>Hospital delivery delay pressure</x:v>
      </x:c>
      <x:c r="L8" s="147" t="n">
        <x:v>0.57</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0.55</x:v>
      </x:c>
      <x:c r="J9" s="63" t="n">
        <x:v>2034</x:v>
      </x:c>
      <x:c r="K9" s="63" t="str">
        <x:v>Hospital delivery delay pressure</x:v>
      </x:c>
      <x:c r="L9" s="147" t="n">
        <x:v>0.34</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0.34</x:v>
      </x:c>
      <x:c r="J10" s="63" t="n">
        <x:v>2034</x:v>
      </x:c>
      <x:c r="K10" s="63" t="str">
        <x:v>Hospital delivery delay pressure</x:v>
      </x:c>
      <x:c r="L10" s="147" t="n">
        <x:v>0.25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0.77</x:v>
      </x:c>
      <x:c r="J11" s="63" t="n">
        <x:v>2034</x:v>
      </x:c>
      <x:c r="K11" s="63" t="str">
        <x:v>Hospital delivery delay pressure</x:v>
      </x:c>
      <x:c r="L11" s="147" t="n">
        <x:v>0.56</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0.41</x:v>
      </x:c>
      <x:c r="J12" s="63" t="n">
        <x:v>2033</x:v>
      </x:c>
      <x:c r="K12" s="63" t="str">
        <x:v>Hospital delivery delay pressure</x:v>
      </x:c>
      <x:c r="L12" s="147" t="n">
        <x:v>0.21</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1.01</x:v>
      </x:c>
      <x:c r="J13" s="63" t="n">
        <x:v>2035</x:v>
      </x:c>
      <x:c r="K13" s="63" t="str">
        <x:v>Hospital delivery delay pressure</x:v>
      </x:c>
      <x:c r="L13" s="147" t="n">
        <x:v>1.24</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0.08</x:v>
      </x:c>
      <x:c r="J14" s="63" t="n">
        <x:v>2033</x:v>
      </x:c>
      <x:c r="K14" s="63" t="str">
        <x:v>Hospital delivery delay pressure</x:v>
      </x:c>
      <x:c r="L14" s="147" t="n">
        <x:v>0.02</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3.41</x:v>
      </x:c>
      <x:c r="J15" s="63" t="n">
        <x:v>2035</x:v>
      </x:c>
      <x:c r="K15" s="63" t="str">
        <x:v>Hospital delivery delay pressure</x:v>
      </x:c>
      <x:c r="L15" s="147" t="n">
        <x:v>8.06</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2976f94d209d494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d9d40f544c834d4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bf0bdee98204479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0.2.0-dev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STATCAN_JVWS_14100444</x:v>
      </x:c>
      <x:c r="B7" s="63" t="str">
        <x:v>Job vacancies and average offered hourly wage by occupation (unit group), quarterly, unadjusted for seasonality</x:v>
      </x:c>
      <x:c r="C7" s="63" t="str">
        <x:v>Statistics Canada</x:v>
      </x:c>
      <x:c r="D7" s="63" t="str">
        <x:v>Labour</x:v>
      </x:c>
      <x:c r="E7" s="63" t="str">
        <x:v>Canada; provinces and territories</x:v>
      </x:c>
      <x:c r="F7" s="155" t="n">
        <x:v>46189</x:v>
      </x:c>
      <x:c r="G7" s="63" t="str">
        <x:v>active</x:v>
      </x:c>
      <x:c r="H7" s="63" t="str">
        <x:v>https://www150.statcan.gc.ca/t1/tbl1/en/tv.action?pid=1410044401</x:v>
      </x:c>
    </x:row>
    <x:row r="8">
      <x:c r="A8" s="63" t="str">
        <x:v>STATCAN_SUPPLY_USE_36100438</x:v>
      </x:c>
      <x:c r="B8" s="63" t="str">
        <x:v>Supply and use tables, summary level, provincial and territorial</x:v>
      </x:c>
      <x:c r="C8" s="63" t="str">
        <x:v>Statistics Canada</x:v>
      </x:c>
      <x:c r="D8" s="63" t="str">
        <x:v>Materials And Industry</x:v>
      </x:c>
      <x:c r="E8" s="63" t="str">
        <x:v>Canada; provinces and territories</x:v>
      </x:c>
      <x:c r="F8" s="155" t="n">
        <x:v>45967</x:v>
      </x:c>
      <x:c r="G8" s="63" t="str">
        <x:v>active</x:v>
      </x:c>
      <x:c r="H8" s="63" t="str">
        <x:v>https://www150.statcan.gc.ca/t1/tbl1/en/tv.action?pid=3610043801</x:v>
      </x:c>
    </x:row>
    <x:row r="9">
      <x:c r="A9" s="63" t="str">
        <x:v>ALBERTA_MAJOR_PROJECTS</x:v>
      </x:c>
      <x:c r="B9" s="63" t="str">
        <x:v>Alberta Major Projects inventory</x:v>
      </x:c>
      <x:c r="C9" s="63" t="str">
        <x:v>Government of Alberta</x:v>
      </x:c>
      <x:c r="D9" s="63" t="str">
        <x:v>Ai Capex And Public Projects</x:v>
      </x:c>
      <x:c r="E9" s="63" t="str">
        <x:v>Alberta</x:v>
      </x:c>
      <x:c r="F9" s="155" t="n">
        <x:v>46265</x:v>
      </x:c>
      <x:c r="G9" s="63" t="str">
        <x:v>candidate</x:v>
      </x:c>
      <x:c r="H9" s="63" t="str">
        <x:v>https://www.majorprojects.alberta.ca/</x:v>
      </x:c>
    </x:row>
    <x:row r="10">
      <x:c r="A10" s="63" t="str">
        <x:v>ALBERTA_MAJOR_PROJECTS_METHOD</x:v>
      </x:c>
      <x:c r="B10" s="63" t="str">
        <x:v>Alberta Major Projects methodology</x:v>
      </x:c>
      <x:c r="C10" s="63" t="str">
        <x:v>Government of Alberta</x:v>
      </x:c>
      <x:c r="D10" s="63" t="str">
        <x:v>Ai Capex And Public Projects</x:v>
      </x:c>
      <x:c r="E10" s="63" t="str">
        <x:v>Alberta</x:v>
      </x:c>
      <x:c r="F10" s="155" t="n">
        <x:v>46265</x:v>
      </x:c>
      <x:c r="G10" s="63" t="str">
        <x:v>active</x:v>
      </x:c>
      <x:c r="H10" s="63" t="str">
        <x:v>https://majorprojects.alberta.ca/methodology</x:v>
      </x:c>
    </x:row>
    <x:row r="11">
      <x:c r="A11" s="63" t="str">
        <x:v>AESO_LARGE_LOAD_PROJECTS</x:v>
      </x:c>
      <x:c r="B11" s="63" t="str">
        <x:v>Large Load Projects</x:v>
      </x:c>
      <x:c r="C11" s="63" t="str">
        <x:v>Alberta Electric System Operator</x:v>
      </x:c>
      <x:c r="D11" s="63" t="str">
        <x:v>Power</x:v>
      </x:c>
      <x:c r="E11" s="63" t="str">
        <x:v>Alberta interconnected electric system</x:v>
      </x:c>
      <x:c r="F11" s="155" t="n">
        <x:v>46265</x:v>
      </x:c>
      <x:c r="G11" s="63" t="str">
        <x:v>candidate</x:v>
      </x:c>
      <x:c r="H11" s="63" t="str">
        <x:v>https://www.aeso.ca/grid/connecting-to-the-grid/large-load-projects/</x:v>
      </x:c>
    </x:row>
    <x:row r="12">
      <x:c r="A12" s="63" t="str">
        <x:v>AESO_LTO_2026_INPUTS</x:v>
      </x:c>
      <x:c r="B12" s="63" t="str">
        <x:v>2026 Long-Term Outlook input, assumptions and scenarios</x:v>
      </x:c>
      <x:c r="C12" s="63" t="str">
        <x:v>Alberta Electric System Operator</x:v>
      </x:c>
      <x:c r="D12" s="63" t="str">
        <x:v>Power</x:v>
      </x:c>
      <x:c r="E12" s="63" t="str">
        <x:v>Alberta interconnected electric system</x:v>
      </x:c>
      <x:c r="F12" s="155" t="n">
        <x:v>46259</x:v>
      </x:c>
      <x:c r="G12" s="63" t="str">
        <x:v>candidate</x:v>
      </x:c>
      <x:c r="H12" s="63" t="str">
        <x:v>https://aesoengage.aeso.ca/2026-long-term-outlook-plan</x:v>
      </x:c>
    </x:row>
    <x:row r="13">
      <x:c r="A13" s="63" t="str">
        <x:v>ALBERTA_AIT_DATA</x:v>
      </x:c>
      <x:c r="B13" s="63" t="str">
        <x:v>Apprenticeship and Industry Training data and research library</x:v>
      </x:c>
      <x:c r="C13" s="63" t="str">
        <x:v>Government of Alberta</x:v>
      </x:c>
      <x:c r="D13" s="63" t="str">
        <x:v>Labour</x:v>
      </x:c>
      <x:c r="E13" s="63" t="str">
        <x:v>Alberta</x:v>
      </x:c>
      <x:c r="F13" s="155" t="n">
        <x:v>46128</x:v>
      </x:c>
      <x:c r="G13" s="63" t="str">
        <x:v>active</x:v>
      </x:c>
      <x:c r="H13" s="63" t="str">
        <x:v>https://tradesecrets.alberta.ca/regulation-resources/data/</x:v>
      </x:c>
    </x:row>
    <x:row r="14">
      <x:c r="A14" s="63"/>
      <x:c r="B14" s="63"/>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d98578f4d0dd4ac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0.2.0-dev</x:v>
      </x:c>
      <x:c r="C5" s="63"/>
      <x:c r="D5" s="63"/>
    </x:row>
    <x:row r="6">
      <x:c r="A6" s="72" t="str">
        <x:v>Release ID</x:v>
      </x:c>
      <x:c r="B6" s="63" t="str">
        <x:v>AIIO_RELEASE_0_2_0_DEV</x:v>
      </x:c>
      <x:c r="C6" s="63"/>
      <x:c r="D6" s="63"/>
    </x:row>
    <x:row r="7">
      <x:c r="A7" s="72" t="str">
        <x:v>Schema version</x:v>
      </x:c>
      <x:c r="B7" s="63" t="str">
        <x:v>1.0.0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160" t="str">
        <x:v>5bf68c25641cf3c8d2291760d1975486f4e31323</x:v>
      </x:c>
      <x:c r="C11" s="63"/>
      <x:c r="D11" s="63"/>
    </x:row>
    <x:row r="12">
      <x:c r="A12" s="72" t="str">
        <x:v>Input manifest hash</x:v>
      </x:c>
      <x:c r="B12" s="160" t="str">
        <x:v>sha256:78d80249d4748d8f5f2586b90ddea3456ea7433c49dab3fbdd1d271c57cc55f5</x:v>
      </x:c>
      <x:c r="C12" s="63"/>
      <x:c r="D12" s="63"/>
    </x:row>
    <x:row r="13">
      <x:c r="A13" s="72" t="str">
        <x:v>Dirty worktree at build</x:v>
      </x:c>
      <x:c r="B13" s="161"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x:c r="B23" s="63"/>
      <x:c r="C23" s="63"/>
      <x:c r="D23" s="63"/>
    </x:row>
    <x:row r="24">
      <x:c r="A24" s="63"/>
      <x:c r="B24" s="63"/>
      <x:c r="C24" s="63"/>
      <x:c r="D24" s="63"/>
    </x:row>
    <x:row r="25">
      <x:c r="A25" s="30" t="str">
        <x:v>A public release is blocked if any check returns FAIL, if the workbook and website manifests differ, or if assumptions/scenarios are presented as observations.</x:v>
      </x:c>
      <x:c r="B25" s="31"/>
      <x:c r="C25" s="31"/>
      <x:c r="D25" s="32"/>
    </x:row>
    <x:row r="26">
      <x:c r="A26" s="36"/>
      <x:c r="B26" s="37"/>
      <x:c r="C26" s="37"/>
      <x:c r="D26" s="38"/>
    </x:row>
  </x:sheetData>
  <x:mergeCells>
    <x:mergeCell ref="A1:D2"/>
    <x:mergeCell ref="A3:D3"/>
    <x:mergeCell ref="A25:D26"/>
  </x:mergeCells>
  <x:conditionalFormatting sqref="B16:B22">
    <x:cfRule type="containsText" dxfId="0" priority="1" operator="containsText" text="PASS"/>
    <x:cfRule type="containsText" dxfId="1" priority="2" operator="containsText" text="FAIL"/>
  </x:conditionalFormatting>
  <x:pageMargins left="0.7" right="0.7" top="0.75" bottom="0.75" header="0.3" footer="0.3"/>
</x:worksheet>
</file>